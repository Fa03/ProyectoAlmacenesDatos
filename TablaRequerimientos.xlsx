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7212ba63cabc353/CUC/AlmacenesDeDatos/Proyecto/"/>
    </mc:Choice>
  </mc:AlternateContent>
  <xr:revisionPtr revIDLastSave="144" documentId="8_{D4A9A601-A423-45F2-9D5A-955EBF7B8A56}" xr6:coauthVersionLast="47" xr6:coauthVersionMax="47" xr10:uidLastSave="{6F42DA58-B959-4B70-A186-617C904CCFC8}"/>
  <bookViews>
    <workbookView xWindow="-110" yWindow="-110" windowWidth="19420" windowHeight="11500" activeTab="1" xr2:uid="{C5D634C5-1930-4498-A423-B7330DB8E379}"/>
  </bookViews>
  <sheets>
    <sheet name="Reqs" sheetId="1" r:id="rId1"/>
    <sheet name="Seleccion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8" i="2"/>
  <c r="B7" i="2"/>
  <c r="B6" i="2"/>
  <c r="B5" i="2"/>
  <c r="B7" i="1"/>
  <c r="B5" i="1"/>
  <c r="B13" i="1"/>
  <c r="B14" i="1"/>
  <c r="B15" i="1"/>
  <c r="B6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<sst xmlns="http://schemas.openxmlformats.org/spreadsheetml/2006/main" count="141" uniqueCount="49">
  <si>
    <t>ID</t>
  </si>
  <si>
    <t>Tipo</t>
  </si>
  <si>
    <t>Descripción</t>
  </si>
  <si>
    <t>Prioridad</t>
  </si>
  <si>
    <t>Fuente</t>
  </si>
  <si>
    <t>Observaciones</t>
  </si>
  <si>
    <t>De datos</t>
  </si>
  <si>
    <t>Definir estructura de la base de datos con columnas clave</t>
  </si>
  <si>
    <t>Alta</t>
  </si>
  <si>
    <t>Analista</t>
  </si>
  <si>
    <t>Se recomienda usar un modelo multidimensional para consultas óptimas.</t>
  </si>
  <si>
    <t>Técnico</t>
  </si>
  <si>
    <t>Implementar ETL para la carga y transformación de datos.</t>
  </si>
  <si>
    <t>Se debe validar la integridad y calidad de los datos antes de cargarlos.</t>
  </si>
  <si>
    <t>Configurar un almacén de datos optimizado para consultas analíticas.</t>
  </si>
  <si>
    <t>Se recomienda particionar datos por marca o año de lanzamiento.</t>
  </si>
  <si>
    <t>Funcional</t>
  </si>
  <si>
    <t>Desarrollar dashboards en Power BI con métricas clave (tendencias de venta, modelos populares).</t>
  </si>
  <si>
    <t>Media</t>
  </si>
  <si>
    <t>Cliente</t>
  </si>
  <si>
    <t>Se debe asegurar la correcta actualización de los datos en tiempo real.</t>
  </si>
  <si>
    <t>No funcional</t>
  </si>
  <si>
    <t>Definir roles de acceso, garantizando permisos diferenciados para usuarios de consulta.</t>
  </si>
  <si>
    <t>Implementar cifrado y auditoría de accesos.</t>
  </si>
  <si>
    <t>Optimizar la velocidad de respuesta en consultas sobre grandes volúmenes de datos.</t>
  </si>
  <si>
    <t>Baja</t>
  </si>
  <si>
    <t>Considerar índices y agregaciones para mejorar el rendimiento.</t>
  </si>
  <si>
    <t>Crear dashboard para análisis de ventas por modelo y marca.</t>
  </si>
  <si>
    <t>Permitir filtrar por periodo y región geográfica.</t>
  </si>
  <si>
    <t xml:space="preserve">	Implementar índices en las tablas de ventas de celulares para mejorar consultas.</t>
  </si>
  <si>
    <t>Crear índices sobre columnas de modelo y fecha de venta.</t>
  </si>
  <si>
    <t>Documentar los procesos de carga y transformación de datos relacionados con celulares.</t>
  </si>
  <si>
    <t>Mantener una guía básica accesible para el equipo de desarrollo.</t>
  </si>
  <si>
    <t>Implementar un filtro en los dashboards para comparar ventas entre diferentes marcas.</t>
  </si>
  <si>
    <t>Permitir seleccionar mínimo dos marcas para comparar sus resultados.</t>
  </si>
  <si>
    <t>Configurar acceso al sistema mediante usuario y contraseña básicos.</t>
  </si>
  <si>
    <t>Solo se requiere autenticación simple, sin necesidad de roles avanzados.</t>
  </si>
  <si>
    <t>RQ0012</t>
  </si>
  <si>
    <t>En la base de datos se deben separar los celulares por tipo de gama, fecha de lanzamiento y marca</t>
  </si>
  <si>
    <t>Se recomienda optimizar las tablas de la base de datos para poder almacenar todas las características de los dispositivos.</t>
  </si>
  <si>
    <t>RQ0013</t>
  </si>
  <si>
    <t>El sistema debe tener un tiempo de respuesta menor a 5 segundos por consulta.</t>
  </si>
  <si>
    <t>El motor de la base de datos debe ser lo suficientemente potente para poder soportar cualquier tipo de consulta.</t>
  </si>
  <si>
    <t>RQ0014</t>
  </si>
  <si>
    <t>Debe de haber un modelo de predicción de ventas integrado en el sistema.</t>
  </si>
  <si>
    <t>Esto estará basado en múltiples variables.</t>
  </si>
  <si>
    <t>RQ0015</t>
  </si>
  <si>
    <t xml:space="preserve"> Se deben almacenar los datos históricos por al menos 24 meses para permitir análisis comparativos.</t>
  </si>
  <si>
    <t>Se busca identificar patrones estacionales, como aumentos de ventas en fin de año o promociones.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</si>
</sst>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F636E9-2EA0-4455-972F-72D4A54E93D2}" name="Table7" displayName="Table7" ref="B4:G19" totalsRowShown="0" headerRowDxfId="15" dataDxfId="14">
  <tableColumns count="6">
    <tableColumn id="1" xr3:uid="{3FA79163-ABEE-4D2E-9A4B-93D9D8040773}" name="ID" dataDxfId="13">
      <calculatedColumnFormula>"RQ00" &amp; TEXT(ROW() - ROW(Table7[[#Headers],[ID]]), "[$-es-ES]0;-0")</calculatedColumnFormula>
    </tableColumn>
    <tableColumn id="2" xr3:uid="{EC3E694E-65E5-4B1B-AEB9-6A39D9F59ADA}" name="Tipo" dataDxfId="12"/>
    <tableColumn id="3" xr3:uid="{C775697A-9132-4E78-B532-14F2B171E38E}" name="Descripción" dataDxfId="11"/>
    <tableColumn id="4" xr3:uid="{B391166C-43E0-4F86-AB75-1BFC3D82CCBF}" name="Prioridad" dataDxfId="10"/>
    <tableColumn id="5" xr3:uid="{F3B5E5F3-D558-4D33-B137-15AF38C88398}" name="Fuente" dataDxfId="9"/>
    <tableColumn id="6" xr3:uid="{978F9897-85C7-4F13-8A1D-CC963DF101D7}" name="Observaciones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07F2D-D12C-413B-A169-0B4270EA1154}" name="Table72" displayName="Table72" ref="B4:G14" totalsRowShown="0" headerRowDxfId="7" dataDxfId="6">
  <tableColumns count="6">
    <tableColumn id="1" xr3:uid="{3157A319-FFC2-4DD7-85C6-005CDE32AAB7}" name="ID" dataDxfId="5">
      <calculatedColumnFormula>"RQ00" &amp; TEXT(ROW() - ROW(Table72[[#Headers],[ID]]), "[$-es-ES]0;-0")</calculatedColumnFormula>
    </tableColumn>
    <tableColumn id="2" xr3:uid="{FA34BDBA-BD91-4553-B52D-A21772653664}" name="Tipo" dataDxfId="4"/>
    <tableColumn id="3" xr3:uid="{65B18B22-C97B-4213-BC0E-D602229F5405}" name="Descripción" dataDxfId="3"/>
    <tableColumn id="4" xr3:uid="{599DB2FD-D7A0-4F79-BACA-E418AF04DC4A}" name="Prioridad" dataDxfId="2"/>
    <tableColumn id="5" xr3:uid="{11F71777-A628-4603-AB02-7342E59CD05C}" name="Fuente" dataDxfId="1"/>
    <tableColumn id="6" xr3:uid="{DBD54D90-AE56-45D0-B7FF-85A781B39AA0}" name="Observacion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D7A9-E365-408C-8C06-B3B9B14EDCE1}">
  <dimension ref="B4:G19"/>
  <sheetViews>
    <sheetView showGridLines="0" topLeftCell="A15" workbookViewId="0">
      <selection activeCell="C17" sqref="C17:G17"/>
    </sheetView>
  </sheetViews>
  <sheetFormatPr defaultRowHeight="14.5" x14ac:dyDescent="0.35"/>
  <cols>
    <col min="2" max="2" width="7.1796875" customWidth="1"/>
    <col min="3" max="3" width="14.81640625" customWidth="1"/>
    <col min="4" max="4" width="27.7265625" customWidth="1"/>
    <col min="5" max="5" width="10.54296875" customWidth="1"/>
    <col min="6" max="6" width="22.81640625" customWidth="1"/>
    <col min="7" max="7" width="27.54296875" customWidth="1"/>
  </cols>
  <sheetData>
    <row r="4" spans="2:7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ht="44.15" customHeight="1" x14ac:dyDescent="0.35">
      <c r="B5" s="2" t="str">
        <f>"RQ00" &amp; TEXT(ROW() - ROW(Table7[[#Headers],[ID]]), "[$-es-ES]0;-0")</f>
        <v>RQ001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spans="2:7" ht="46" customHeight="1" x14ac:dyDescent="0.35">
      <c r="B6" s="2" t="str">
        <f>"RQ00" &amp; TEXT(ROW() - ROW(Table7[[#Headers],[ID]]), "[$-es-ES]0;-0")</f>
        <v>RQ002</v>
      </c>
      <c r="C6" s="3" t="s">
        <v>11</v>
      </c>
      <c r="D6" s="3" t="s">
        <v>12</v>
      </c>
      <c r="E6" s="3" t="s">
        <v>8</v>
      </c>
      <c r="F6" s="3" t="s">
        <v>9</v>
      </c>
      <c r="G6" s="3" t="s">
        <v>13</v>
      </c>
    </row>
    <row r="7" spans="2:7" ht="51" customHeight="1" x14ac:dyDescent="0.35">
      <c r="B7" s="6" t="str">
        <f>"RQ00" &amp; TEXT(ROW() - ROW(Table7[[#Headers],[ID]]), "[$-es-ES]0;-0")</f>
        <v>RQ003</v>
      </c>
      <c r="C7" s="3" t="s">
        <v>11</v>
      </c>
      <c r="D7" s="3" t="s">
        <v>14</v>
      </c>
      <c r="E7" s="3" t="s">
        <v>8</v>
      </c>
      <c r="F7" s="3" t="s">
        <v>9</v>
      </c>
      <c r="G7" s="3" t="s">
        <v>15</v>
      </c>
    </row>
    <row r="8" spans="2:7" ht="62.5" customHeight="1" x14ac:dyDescent="0.35">
      <c r="B8" s="2" t="str">
        <f>"RQ00" &amp; TEXT(ROW() - ROW(Table7[[#Headers],[ID]]), "[$-es-ES]0;-0")</f>
        <v>RQ004</v>
      </c>
      <c r="C8" s="3" t="s">
        <v>16</v>
      </c>
      <c r="D8" s="3" t="s">
        <v>17</v>
      </c>
      <c r="E8" s="3" t="s">
        <v>18</v>
      </c>
      <c r="F8" s="3" t="s">
        <v>19</v>
      </c>
      <c r="G8" s="3" t="s">
        <v>20</v>
      </c>
    </row>
    <row r="9" spans="2:7" ht="62.15" customHeight="1" x14ac:dyDescent="0.35">
      <c r="B9" s="6" t="str">
        <f>"RQ00" &amp; TEXT(ROW() - ROW(Table7[[#Headers],[ID]]), "[$-es-ES]0;-0")</f>
        <v>RQ005</v>
      </c>
      <c r="C9" s="3" t="s">
        <v>21</v>
      </c>
      <c r="D9" s="3" t="s">
        <v>22</v>
      </c>
      <c r="E9" s="3" t="s">
        <v>8</v>
      </c>
      <c r="F9" s="3" t="s">
        <v>19</v>
      </c>
      <c r="G9" s="3" t="s">
        <v>23</v>
      </c>
    </row>
    <row r="10" spans="2:7" ht="51" customHeight="1" x14ac:dyDescent="0.35">
      <c r="B10" s="6" t="str">
        <f>"RQ00" &amp; TEXT(ROW() - ROW(Table7[[#Headers],[ID]]), "[$-es-ES]0;-0")</f>
        <v>RQ006</v>
      </c>
      <c r="C10" s="3" t="s">
        <v>11</v>
      </c>
      <c r="D10" s="3" t="s">
        <v>24</v>
      </c>
      <c r="E10" s="3" t="s">
        <v>25</v>
      </c>
      <c r="F10" s="3" t="s">
        <v>9</v>
      </c>
      <c r="G10" s="3" t="s">
        <v>26</v>
      </c>
    </row>
    <row r="11" spans="2:7" ht="51.75" customHeight="1" x14ac:dyDescent="0.35">
      <c r="B11" s="6" t="str">
        <f>"RQ00" &amp; TEXT(ROW() - ROW(Table7[[#Headers],[ID]]), "[$-es-ES]0;-0")</f>
        <v>RQ007</v>
      </c>
      <c r="C11" s="3" t="s">
        <v>16</v>
      </c>
      <c r="D11" s="3" t="s">
        <v>27</v>
      </c>
      <c r="E11" s="3" t="s">
        <v>18</v>
      </c>
      <c r="F11" s="3" t="s">
        <v>19</v>
      </c>
      <c r="G11" s="3" t="s">
        <v>28</v>
      </c>
    </row>
    <row r="12" spans="2:7" ht="50.25" customHeight="1" x14ac:dyDescent="0.35">
      <c r="B12" s="2" t="str">
        <f>"RQ00" &amp; TEXT(ROW() - ROW(Table7[[#Headers],[ID]]), "[$-es-ES]0;-0")</f>
        <v>RQ008</v>
      </c>
      <c r="C12" s="3" t="s">
        <v>11</v>
      </c>
      <c r="D12" s="3" t="s">
        <v>29</v>
      </c>
      <c r="E12" s="3" t="s">
        <v>18</v>
      </c>
      <c r="F12" s="3" t="s">
        <v>9</v>
      </c>
      <c r="G12" s="3" t="s">
        <v>30</v>
      </c>
    </row>
    <row r="13" spans="2:7" ht="64" customHeight="1" x14ac:dyDescent="0.35">
      <c r="B13" s="4" t="str">
        <f>"RQ00" &amp; TEXT(ROW() - ROW(Table7[[#Headers],[ID]]), "[$-es-ES]0;-0")</f>
        <v>RQ009</v>
      </c>
      <c r="C13" s="5" t="s">
        <v>11</v>
      </c>
      <c r="D13" s="5" t="s">
        <v>31</v>
      </c>
      <c r="E13" s="5" t="s">
        <v>25</v>
      </c>
      <c r="F13" s="5" t="s">
        <v>9</v>
      </c>
      <c r="G13" s="5" t="s">
        <v>32</v>
      </c>
    </row>
    <row r="14" spans="2:7" ht="50.25" customHeight="1" x14ac:dyDescent="0.35">
      <c r="B14" s="4" t="str">
        <f>"RQ00" &amp; TEXT(ROW() - ROW(Table7[[#Headers],[ID]]), "[$-es-ES]0;-0")</f>
        <v>RQ0010</v>
      </c>
      <c r="C14" s="5" t="s">
        <v>16</v>
      </c>
      <c r="D14" s="5" t="s">
        <v>33</v>
      </c>
      <c r="E14" s="5" t="s">
        <v>18</v>
      </c>
      <c r="F14" s="5" t="s">
        <v>19</v>
      </c>
      <c r="G14" s="5" t="s">
        <v>34</v>
      </c>
    </row>
    <row r="15" spans="2:7" ht="45" customHeight="1" x14ac:dyDescent="0.35">
      <c r="B15" s="4" t="str">
        <f>"RQ00" &amp; TEXT(ROW() - ROW(Table7[[#Headers],[ID]]), "[$-es-ES]0;-0")</f>
        <v>RQ0011</v>
      </c>
      <c r="C15" s="5" t="s">
        <v>11</v>
      </c>
      <c r="D15" s="5" t="s">
        <v>35</v>
      </c>
      <c r="E15" s="5" t="s">
        <v>8</v>
      </c>
      <c r="F15" s="5" t="s">
        <v>9</v>
      </c>
      <c r="G15" s="5" t="s">
        <v>36</v>
      </c>
    </row>
    <row r="16" spans="2:7" ht="72.5" x14ac:dyDescent="0.35">
      <c r="B16" s="4" t="s">
        <v>37</v>
      </c>
      <c r="C16" s="5" t="s">
        <v>11</v>
      </c>
      <c r="D16" s="5" t="s">
        <v>38</v>
      </c>
      <c r="E16" s="5" t="s">
        <v>8</v>
      </c>
      <c r="F16" s="5" t="s">
        <v>19</v>
      </c>
      <c r="G16" s="5" t="s">
        <v>39</v>
      </c>
    </row>
    <row r="17" spans="2:7" ht="58" x14ac:dyDescent="0.35">
      <c r="B17" s="7" t="s">
        <v>40</v>
      </c>
      <c r="C17" s="5" t="s">
        <v>21</v>
      </c>
      <c r="D17" s="5" t="s">
        <v>41</v>
      </c>
      <c r="E17" s="5" t="s">
        <v>18</v>
      </c>
      <c r="F17" s="5" t="s">
        <v>19</v>
      </c>
      <c r="G17" s="5" t="s">
        <v>42</v>
      </c>
    </row>
    <row r="18" spans="2:7" ht="43.5" x14ac:dyDescent="0.35">
      <c r="B18" s="7" t="s">
        <v>43</v>
      </c>
      <c r="C18" s="5" t="s">
        <v>16</v>
      </c>
      <c r="D18" s="5" t="s">
        <v>44</v>
      </c>
      <c r="E18" s="5" t="s">
        <v>8</v>
      </c>
      <c r="F18" s="5" t="s">
        <v>19</v>
      </c>
      <c r="G18" s="5" t="s">
        <v>45</v>
      </c>
    </row>
    <row r="19" spans="2:7" ht="58" x14ac:dyDescent="0.35">
      <c r="B19" s="4" t="s">
        <v>46</v>
      </c>
      <c r="C19" s="5" t="s">
        <v>6</v>
      </c>
      <c r="D19" s="5" t="s">
        <v>47</v>
      </c>
      <c r="E19" s="5" t="s">
        <v>8</v>
      </c>
      <c r="F19" s="5" t="s">
        <v>9</v>
      </c>
      <c r="G19" s="5" t="s">
        <v>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FA86-2C35-45B5-B874-50959DE876D5}">
  <dimension ref="B4:G14"/>
  <sheetViews>
    <sheetView showGridLines="0" tabSelected="1" topLeftCell="A11" workbookViewId="0">
      <selection activeCell="E17" sqref="E17"/>
    </sheetView>
  </sheetViews>
  <sheetFormatPr defaultRowHeight="14.5" x14ac:dyDescent="0.35"/>
  <cols>
    <col min="2" max="2" width="7.1796875" customWidth="1"/>
    <col min="3" max="3" width="14.81640625" customWidth="1"/>
    <col min="4" max="4" width="27.7265625" customWidth="1"/>
    <col min="5" max="5" width="10.54296875" customWidth="1"/>
    <col min="6" max="6" width="22.81640625" customWidth="1"/>
    <col min="7" max="7" width="27.54296875" customWidth="1"/>
  </cols>
  <sheetData>
    <row r="4" spans="2:7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ht="44.15" customHeight="1" x14ac:dyDescent="0.35">
      <c r="B5" s="2" t="str">
        <f>"RQ00" &amp; TEXT(ROW() - ROW(Table72[[#Headers],[ID]]), "[$-es-ES]0;-0")</f>
        <v>RQ001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spans="2:7" ht="46" customHeight="1" x14ac:dyDescent="0.35">
      <c r="B6" s="2" t="str">
        <f>"RQ00" &amp; TEXT(ROW() - ROW(Table72[[#Headers],[ID]]), "[$-es-ES]0;-0")</f>
        <v>RQ002</v>
      </c>
      <c r="C6" s="3" t="s">
        <v>11</v>
      </c>
      <c r="D6" s="3" t="s">
        <v>12</v>
      </c>
      <c r="E6" s="3" t="s">
        <v>8</v>
      </c>
      <c r="F6" s="3" t="s">
        <v>9</v>
      </c>
      <c r="G6" s="3" t="s">
        <v>13</v>
      </c>
    </row>
    <row r="7" spans="2:7" ht="62.5" customHeight="1" x14ac:dyDescent="0.35">
      <c r="B7" s="2" t="str">
        <f>"RQ00" &amp; TEXT(ROW() - ROW(Table72[[#Headers],[ID]]), "[$-es-ES]0;-0")</f>
        <v>RQ003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8" spans="2:7" ht="50.25" customHeight="1" x14ac:dyDescent="0.35">
      <c r="B8" s="2" t="str">
        <f>"RQ00" &amp; TEXT(ROW() - ROW(Table72[[#Headers],[ID]]), "[$-es-ES]0;-0")</f>
        <v>RQ004</v>
      </c>
      <c r="C8" s="3" t="s">
        <v>11</v>
      </c>
      <c r="D8" s="3" t="s">
        <v>29</v>
      </c>
      <c r="E8" s="3" t="s">
        <v>18</v>
      </c>
      <c r="F8" s="3" t="s">
        <v>9</v>
      </c>
      <c r="G8" s="3" t="s">
        <v>30</v>
      </c>
    </row>
    <row r="9" spans="2:7" ht="64" customHeight="1" x14ac:dyDescent="0.35">
      <c r="B9" s="4" t="str">
        <f>"RQ00" &amp; TEXT(ROW() - ROW(Table72[[#Headers],[ID]]), "[$-es-ES]0;-0")</f>
        <v>RQ005</v>
      </c>
      <c r="C9" s="5" t="s">
        <v>11</v>
      </c>
      <c r="D9" s="5" t="s">
        <v>31</v>
      </c>
      <c r="E9" s="5" t="s">
        <v>25</v>
      </c>
      <c r="F9" s="5" t="s">
        <v>9</v>
      </c>
      <c r="G9" s="5" t="s">
        <v>32</v>
      </c>
    </row>
    <row r="10" spans="2:7" ht="50.25" customHeight="1" x14ac:dyDescent="0.35">
      <c r="B10" s="4" t="str">
        <f>"RQ00" &amp; TEXT(ROW() - ROW(Table72[[#Headers],[ID]]), "[$-es-ES]0;-0")</f>
        <v>RQ006</v>
      </c>
      <c r="C10" s="5" t="s">
        <v>16</v>
      </c>
      <c r="D10" s="5" t="s">
        <v>33</v>
      </c>
      <c r="E10" s="5" t="s">
        <v>18</v>
      </c>
      <c r="F10" s="5" t="s">
        <v>19</v>
      </c>
      <c r="G10" s="5" t="s">
        <v>34</v>
      </c>
    </row>
    <row r="11" spans="2:7" ht="45" customHeight="1" x14ac:dyDescent="0.35">
      <c r="B11" s="4" t="str">
        <f>"RQ00" &amp; TEXT(ROW() - ROW(Table72[[#Headers],[ID]]), "[$-es-ES]0;-0")</f>
        <v>RQ007</v>
      </c>
      <c r="C11" s="5" t="s">
        <v>11</v>
      </c>
      <c r="D11" s="5" t="s">
        <v>35</v>
      </c>
      <c r="E11" s="5" t="s">
        <v>8</v>
      </c>
      <c r="F11" s="5" t="s">
        <v>9</v>
      </c>
      <c r="G11" s="5" t="s">
        <v>36</v>
      </c>
    </row>
    <row r="12" spans="2:7" ht="72.5" x14ac:dyDescent="0.35">
      <c r="B12" s="4" t="str">
        <f>"RQ00" &amp; TEXT(ROW() - ROW(Table72[[#Headers],[ID]]), "[$-es-ES]0;-0")</f>
        <v>RQ008</v>
      </c>
      <c r="C12" s="5" t="s">
        <v>11</v>
      </c>
      <c r="D12" s="5" t="s">
        <v>38</v>
      </c>
      <c r="E12" s="5" t="s">
        <v>8</v>
      </c>
      <c r="F12" s="5" t="s">
        <v>19</v>
      </c>
      <c r="G12" s="5" t="s">
        <v>39</v>
      </c>
    </row>
    <row r="13" spans="2:7" ht="58" x14ac:dyDescent="0.35">
      <c r="B13" s="4" t="str">
        <f>"RQ00" &amp; TEXT(ROW() - ROW(Table72[[#Headers],[ID]]), "[$-es-ES]0;-0")</f>
        <v>RQ009</v>
      </c>
      <c r="C13" s="5" t="s">
        <v>6</v>
      </c>
      <c r="D13" s="5" t="s">
        <v>47</v>
      </c>
      <c r="E13" s="5" t="s">
        <v>8</v>
      </c>
      <c r="F13" s="5" t="s">
        <v>9</v>
      </c>
      <c r="G13" s="5" t="s">
        <v>48</v>
      </c>
    </row>
    <row r="14" spans="2:7" ht="58" x14ac:dyDescent="0.35">
      <c r="B14" s="4" t="str">
        <f>"RQ00" &amp; TEXT(ROW() - ROW(Table72[[#Headers],[ID]]), "[$-es-ES]0;-0")</f>
        <v>RQ0010</v>
      </c>
      <c r="C14" s="5" t="s">
        <v>21</v>
      </c>
      <c r="D14" s="5" t="s">
        <v>41</v>
      </c>
      <c r="E14" s="5" t="s">
        <v>18</v>
      </c>
      <c r="F14" s="5" t="s">
        <v>19</v>
      </c>
      <c r="G14" s="5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Reqs</vt:lpstr>
      <vt:lpstr>Seleccionados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Fabián Brenes</dc:creator>
  <cp:keywords/>
  <dc:description/>
  <cp:lastModifiedBy>Fabián Brenes</cp:lastModifiedBy>
  <cp:revision/>
  <dcterms:created xsi:type="dcterms:W3CDTF">2025-05-30T22:10:07Z</dcterms:created>
  <dcterms:modified xsi:type="dcterms:W3CDTF">2025-06-03T00:07:08Z</dcterms:modified>
  <cp:category/>
  <cp:contentStatus/>
</cp:coreProperties>
</file>